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4005c0a1034a1f/ドキュメント/ドキュメント (1)/日報/"/>
    </mc:Choice>
  </mc:AlternateContent>
  <xr:revisionPtr revIDLastSave="130" documentId="8_{04824B06-9FB6-445B-A152-E0BAD2BD38EF}" xr6:coauthVersionLast="47" xr6:coauthVersionMax="47" xr10:uidLastSave="{BA4C6D1C-D107-4023-8876-9BB79DD24C63}"/>
  <bookViews>
    <workbookView xWindow="-110" yWindow="-110" windowWidth="25180" windowHeight="16140" activeTab="1" xr2:uid="{5135A42F-ED26-4CDD-958C-F5B110EC57FD}"/>
  </bookViews>
  <sheets>
    <sheet name="月 報" sheetId="1" r:id="rId1"/>
    <sheet name="de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3" i="1"/>
  <c r="G7" i="1" l="1"/>
  <c r="H10" i="1"/>
  <c r="G6" i="1"/>
  <c r="H6" i="1" s="1"/>
  <c r="H5" i="1"/>
  <c r="H7" i="1"/>
  <c r="H8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G9" i="1"/>
  <c r="H9" i="1" s="1"/>
  <c r="G3" i="1"/>
  <c r="H3" i="1" s="1"/>
  <c r="I49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H18" i="1" s="1"/>
  <c r="G17" i="1"/>
  <c r="G16" i="1"/>
  <c r="G15" i="1"/>
  <c r="G14" i="1"/>
  <c r="G13" i="1"/>
  <c r="G12" i="1"/>
  <c r="G11" i="1"/>
  <c r="G8" i="1"/>
  <c r="G5" i="1"/>
  <c r="G4" i="1"/>
  <c r="H4" i="1" s="1"/>
  <c r="I47" i="1" l="1"/>
  <c r="I48" i="1"/>
  <c r="I46" i="1" l="1"/>
</calcChain>
</file>

<file path=xl/sharedStrings.xml><?xml version="1.0" encoding="utf-8"?>
<sst xmlns="http://schemas.openxmlformats.org/spreadsheetml/2006/main" count="65" uniqueCount="59">
  <si>
    <t>松波課長</t>
    <rPh sb="0" eb="4">
      <t>マツナミカチョウ</t>
    </rPh>
    <phoneticPr fontId="1"/>
  </si>
  <si>
    <t>１月</t>
    <rPh sb="1" eb="2">
      <t>ガツ</t>
    </rPh>
    <phoneticPr fontId="1"/>
  </si>
  <si>
    <t>岡田康均</t>
    <rPh sb="0" eb="2">
      <t>オカダ</t>
    </rPh>
    <rPh sb="2" eb="4">
      <t>ヤスヒト</t>
    </rPh>
    <phoneticPr fontId="1"/>
  </si>
  <si>
    <t>氏名</t>
    <rPh sb="0" eb="2">
      <t>シメイ</t>
    </rPh>
    <phoneticPr fontId="1"/>
  </si>
  <si>
    <t>宇佐美課長</t>
    <rPh sb="0" eb="3">
      <t>ウサミ</t>
    </rPh>
    <rPh sb="3" eb="5">
      <t>カチョウ</t>
    </rPh>
    <phoneticPr fontId="1"/>
  </si>
  <si>
    <t>２月</t>
  </si>
  <si>
    <t>牧野宏昭</t>
    <rPh sb="0" eb="2">
      <t>マキノ</t>
    </rPh>
    <rPh sb="2" eb="4">
      <t>ヒロアキ</t>
    </rPh>
    <phoneticPr fontId="1"/>
  </si>
  <si>
    <t>社名</t>
    <rPh sb="0" eb="2">
      <t>シャメイ</t>
    </rPh>
    <phoneticPr fontId="1"/>
  </si>
  <si>
    <t>安部課長</t>
    <rPh sb="0" eb="4">
      <t>アベカチョウ</t>
    </rPh>
    <phoneticPr fontId="1"/>
  </si>
  <si>
    <t>３月</t>
  </si>
  <si>
    <t>與儀電設</t>
    <rPh sb="0" eb="2">
      <t>ヨギ</t>
    </rPh>
    <rPh sb="2" eb="4">
      <t>デンセツ</t>
    </rPh>
    <phoneticPr fontId="1"/>
  </si>
  <si>
    <t>鈴木課長</t>
    <rPh sb="0" eb="4">
      <t>スズキカチョウ</t>
    </rPh>
    <phoneticPr fontId="1"/>
  </si>
  <si>
    <t>４月</t>
  </si>
  <si>
    <t>弁天防災</t>
    <rPh sb="0" eb="4">
      <t>ベンテンボウサイ</t>
    </rPh>
    <phoneticPr fontId="1"/>
  </si>
  <si>
    <t>梅田係長</t>
    <rPh sb="0" eb="2">
      <t>ウメダ</t>
    </rPh>
    <rPh sb="2" eb="4">
      <t>カカリチョウ</t>
    </rPh>
    <phoneticPr fontId="1"/>
  </si>
  <si>
    <t>５月</t>
  </si>
  <si>
    <t>植田防災</t>
    <rPh sb="0" eb="4">
      <t>ウエダボウサイ</t>
    </rPh>
    <phoneticPr fontId="1"/>
  </si>
  <si>
    <t>寺本係長</t>
    <rPh sb="0" eb="2">
      <t>テラモト</t>
    </rPh>
    <rPh sb="2" eb="4">
      <t>カカリチョウ</t>
    </rPh>
    <phoneticPr fontId="1"/>
  </si>
  <si>
    <t>６月</t>
  </si>
  <si>
    <t>宮田防災設備</t>
    <rPh sb="0" eb="2">
      <t>ミヤタ</t>
    </rPh>
    <rPh sb="2" eb="4">
      <t>ボウサイ</t>
    </rPh>
    <rPh sb="4" eb="6">
      <t>セツビ</t>
    </rPh>
    <phoneticPr fontId="1"/>
  </si>
  <si>
    <t>堰合</t>
    <rPh sb="0" eb="2">
      <t>セキアイ</t>
    </rPh>
    <phoneticPr fontId="1"/>
  </si>
  <si>
    <t>７月</t>
  </si>
  <si>
    <t>半澤主任</t>
    <rPh sb="0" eb="4">
      <t>ハンザワシュニン</t>
    </rPh>
    <phoneticPr fontId="1"/>
  </si>
  <si>
    <t>８月</t>
  </si>
  <si>
    <t>西岡</t>
    <rPh sb="0" eb="2">
      <t>ニシオカ</t>
    </rPh>
    <phoneticPr fontId="1"/>
  </si>
  <si>
    <t>９月</t>
  </si>
  <si>
    <t>石井</t>
    <rPh sb="0" eb="2">
      <t>イシイ</t>
    </rPh>
    <phoneticPr fontId="1"/>
  </si>
  <si>
    <t>１０月</t>
  </si>
  <si>
    <t>大塚</t>
    <rPh sb="0" eb="2">
      <t>オオツカ</t>
    </rPh>
    <phoneticPr fontId="1"/>
  </si>
  <si>
    <t>１１月</t>
  </si>
  <si>
    <t>岡田（光）</t>
    <rPh sb="0" eb="2">
      <t>オカダ</t>
    </rPh>
    <rPh sb="3" eb="4">
      <t>ミツ</t>
    </rPh>
    <phoneticPr fontId="1"/>
  </si>
  <si>
    <t>１２月</t>
  </si>
  <si>
    <t>岡田（直）</t>
    <rPh sb="0" eb="2">
      <t>オカダ</t>
    </rPh>
    <rPh sb="3" eb="4">
      <t>ナオ</t>
    </rPh>
    <phoneticPr fontId="1"/>
  </si>
  <si>
    <t>河内</t>
    <rPh sb="0" eb="2">
      <t>カワチ</t>
    </rPh>
    <phoneticPr fontId="1"/>
  </si>
  <si>
    <t>佐藤</t>
    <rPh sb="0" eb="2">
      <t>サトウ</t>
    </rPh>
    <phoneticPr fontId="1"/>
  </si>
  <si>
    <t>後藤</t>
    <rPh sb="0" eb="2">
      <t>ゴトウ</t>
    </rPh>
    <phoneticPr fontId="1"/>
  </si>
  <si>
    <t>三浦</t>
    <rPh sb="0" eb="2">
      <t>ミウラ</t>
    </rPh>
    <phoneticPr fontId="1"/>
  </si>
  <si>
    <t>前田</t>
    <rPh sb="0" eb="2">
      <t>マエダ</t>
    </rPh>
    <phoneticPr fontId="1"/>
  </si>
  <si>
    <t>仲田</t>
    <rPh sb="0" eb="2">
      <t>ナカダ</t>
    </rPh>
    <phoneticPr fontId="1"/>
  </si>
  <si>
    <t>浅野</t>
    <rPh sb="0" eb="2">
      <t>アサノ</t>
    </rPh>
    <phoneticPr fontId="1"/>
  </si>
  <si>
    <t>嶋津</t>
    <rPh sb="0" eb="2">
      <t>シマヅ</t>
    </rPh>
    <phoneticPr fontId="1"/>
  </si>
  <si>
    <t>北村</t>
    <rPh sb="0" eb="2">
      <t>キタムラ</t>
    </rPh>
    <phoneticPr fontId="1"/>
  </si>
  <si>
    <t>仲津</t>
    <rPh sb="0" eb="2">
      <t>ナカツ</t>
    </rPh>
    <phoneticPr fontId="1"/>
  </si>
  <si>
    <t>藤田</t>
    <rPh sb="0" eb="2">
      <t>フジタ</t>
    </rPh>
    <phoneticPr fontId="1"/>
  </si>
  <si>
    <t>月　　　　　報</t>
    <rPh sb="0" eb="1">
      <t>ゲツ</t>
    </rPh>
    <rPh sb="6" eb="7">
      <t>ホウ</t>
    </rPh>
    <phoneticPr fontId="1"/>
  </si>
  <si>
    <t>年/月/日</t>
    <rPh sb="0" eb="1">
      <t>ネン</t>
    </rPh>
    <rPh sb="2" eb="3">
      <t>ツキ</t>
    </rPh>
    <rPh sb="4" eb="5">
      <t>ヒ</t>
    </rPh>
    <phoneticPr fontId="1"/>
  </si>
  <si>
    <t>現　　場　　名</t>
    <rPh sb="0" eb="1">
      <t>ゲン</t>
    </rPh>
    <rPh sb="3" eb="4">
      <t>バ</t>
    </rPh>
    <rPh sb="6" eb="7">
      <t>ナ</t>
    </rPh>
    <phoneticPr fontId="1"/>
  </si>
  <si>
    <t>担当者</t>
    <rPh sb="0" eb="3">
      <t>タントウシャ</t>
    </rPh>
    <phoneticPr fontId="1"/>
  </si>
  <si>
    <t>入工</t>
    <rPh sb="0" eb="2">
      <t>ニュウコウ</t>
    </rPh>
    <phoneticPr fontId="1"/>
  </si>
  <si>
    <t>退出</t>
    <rPh sb="0" eb="2">
      <t>タイシュツ</t>
    </rPh>
    <phoneticPr fontId="1"/>
  </si>
  <si>
    <t>休憩</t>
    <rPh sb="0" eb="2">
      <t>キュウケイ</t>
    </rPh>
    <phoneticPr fontId="1"/>
  </si>
  <si>
    <t>労働時間</t>
    <rPh sb="0" eb="4">
      <t>ロウドウジカン</t>
    </rPh>
    <phoneticPr fontId="1"/>
  </si>
  <si>
    <t>残業時間</t>
    <rPh sb="0" eb="4">
      <t>ザンギョウジカン</t>
    </rPh>
    <phoneticPr fontId="1"/>
  </si>
  <si>
    <t>深夜残業</t>
    <rPh sb="0" eb="2">
      <t>シンヤ</t>
    </rPh>
    <rPh sb="2" eb="4">
      <t>ザンギョウ</t>
    </rPh>
    <phoneticPr fontId="1"/>
  </si>
  <si>
    <t>勤務時間</t>
    <rPh sb="0" eb="2">
      <t>キンム</t>
    </rPh>
    <rPh sb="2" eb="4">
      <t>ジカン</t>
    </rPh>
    <phoneticPr fontId="1"/>
  </si>
  <si>
    <t>深夜残業</t>
    <rPh sb="0" eb="4">
      <t>シンヤザンギョウ</t>
    </rPh>
    <phoneticPr fontId="1"/>
  </si>
  <si>
    <t>休み</t>
    <rPh sb="0" eb="1">
      <t>ヤス</t>
    </rPh>
    <phoneticPr fontId="1"/>
  </si>
  <si>
    <t>選択</t>
    <rPh sb="0" eb="2">
      <t>センタク</t>
    </rPh>
    <phoneticPr fontId="1"/>
  </si>
  <si>
    <t>＊　時刻は24時間表記で入力して下さい。</t>
    <rPh sb="2" eb="4">
      <t>ジコク</t>
    </rPh>
    <rPh sb="7" eb="9">
      <t>ジカン</t>
    </rPh>
    <rPh sb="9" eb="11">
      <t>ヒョウキ</t>
    </rPh>
    <rPh sb="12" eb="14">
      <t>ニュウリョク</t>
    </rPh>
    <rPh sb="16" eb="17">
      <t>クダ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</si>
</sst>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(aaa\)"/>
    <numFmt numFmtId="177" formatCode="h:mm;@"/>
    <numFmt numFmtId="178" formatCode="[h]:mm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20" fontId="0" fillId="3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4" borderId="1" xfId="0" applyFill="1" applyBorder="1" applyAlignment="1" applyProtection="1">
      <alignment vertical="center" shrinkToFit="1"/>
      <protection locked="0"/>
    </xf>
    <xf numFmtId="176" fontId="0" fillId="4" borderId="1" xfId="0" applyNumberFormat="1" applyFill="1" applyBorder="1" applyAlignment="1" applyProtection="1">
      <alignment vertical="center" shrinkToFit="1"/>
      <protection locked="0"/>
    </xf>
    <xf numFmtId="20" fontId="0" fillId="4" borderId="1" xfId="0" applyNumberForma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3" borderId="1" xfId="0" applyFill="1" applyBorder="1" applyAlignment="1">
      <alignment horizontal="center" vertical="center" shrinkToFit="1"/>
    </xf>
    <xf numFmtId="178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20" fontId="4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F42B-44C4-4A6C-8BB8-5394D4A15C3E}">
  <sheetPr>
    <tabColor theme="6" tint="0.59999389629810485"/>
    <pageSetUpPr fitToPage="1"/>
  </sheetPr>
  <dimension ref="A1:I49"/>
  <sheetViews>
    <sheetView view="pageBreakPreview" topLeftCell="A12" zoomScale="108" zoomScaleNormal="100" zoomScaleSheetLayoutView="108" workbookViewId="0">
      <selection activeCell="B14" sqref="B14"/>
    </sheetView>
  </sheetViews>
  <sheetFormatPr defaultRowHeight="18" x14ac:dyDescent="0.55000000000000004"/>
  <cols>
    <col min="1" max="1" width="11.75" customWidth="1"/>
    <col min="2" max="2" width="38.5" customWidth="1"/>
    <col min="4" max="5" width="5.6640625" bestFit="1" customWidth="1"/>
    <col min="6" max="6" width="5" bestFit="1" customWidth="1"/>
    <col min="7" max="7" width="7.1640625" bestFit="1" customWidth="1"/>
    <col min="8" max="8" width="8.5" bestFit="1" customWidth="1"/>
    <col min="9" max="9" width="7.1640625" bestFit="1" customWidth="1"/>
  </cols>
  <sheetData>
    <row r="1" spans="1:9" ht="22.5" x14ac:dyDescent="0.55000000000000004">
      <c r="A1" s="19" t="s">
        <v>57</v>
      </c>
      <c r="B1" s="10" t="s">
        <v>44</v>
      </c>
      <c r="C1" s="4"/>
      <c r="D1" s="4"/>
      <c r="G1" s="18" t="s">
        <v>57</v>
      </c>
      <c r="H1" s="20" t="s">
        <v>57</v>
      </c>
      <c r="I1" s="20"/>
    </row>
    <row r="2" spans="1:9" x14ac:dyDescent="0.55000000000000004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6" t="s">
        <v>51</v>
      </c>
      <c r="H2" s="6" t="s">
        <v>52</v>
      </c>
      <c r="I2" s="7" t="s">
        <v>53</v>
      </c>
    </row>
    <row r="3" spans="1:9" x14ac:dyDescent="0.55000000000000004">
      <c r="A3" s="12"/>
      <c r="B3" s="11"/>
      <c r="C3" s="11"/>
      <c r="D3" s="13"/>
      <c r="E3" s="13"/>
      <c r="F3" s="13"/>
      <c r="G3" s="8" t="str">
        <f>IF(D3="","",E3-D3-F3)</f>
        <v/>
      </c>
      <c r="H3" s="8" t="str">
        <f>IF(OR(D3="",G3&lt;=TIME(9,0,0)),"",G3-TIME(9,0,0))</f>
        <v/>
      </c>
      <c r="I3" s="9" t="str">
        <f>IF(E3&gt;deta!$D$2,E3-deta!$D$2,"")</f>
        <v/>
      </c>
    </row>
    <row r="4" spans="1:9" x14ac:dyDescent="0.55000000000000004">
      <c r="A4" s="12"/>
      <c r="B4" s="11"/>
      <c r="C4" s="11"/>
      <c r="D4" s="13"/>
      <c r="E4" s="13"/>
      <c r="F4" s="13"/>
      <c r="G4" s="8" t="str">
        <f t="shared" ref="G4:G10" si="0">IF(D4="","",E4-D4-F4)</f>
        <v/>
      </c>
      <c r="H4" s="8" t="str">
        <f>IF(OR(D4="",G4&lt;=TIME(9,0,0)),"",G4-TIME(9,0,0))</f>
        <v/>
      </c>
      <c r="I4" s="9" t="str">
        <f>IF(E4&gt;deta!$D$2,E4-deta!$D$2,"")</f>
        <v/>
      </c>
    </row>
    <row r="5" spans="1:9" x14ac:dyDescent="0.55000000000000004">
      <c r="A5" s="12"/>
      <c r="B5" s="11"/>
      <c r="C5" s="11"/>
      <c r="D5" s="13"/>
      <c r="E5" s="13"/>
      <c r="F5" s="13"/>
      <c r="G5" s="8" t="str">
        <f t="shared" si="0"/>
        <v/>
      </c>
      <c r="H5" s="8" t="str">
        <f t="shared" ref="H5:H44" si="1">IF(OR(D5="",G5&lt;=TIME(9,0,0)),"",G5-TIME(9,0,0))</f>
        <v/>
      </c>
      <c r="I5" s="9" t="str">
        <f>IF(E5&gt;deta!$D$2,E5-deta!$D$2,"")</f>
        <v/>
      </c>
    </row>
    <row r="6" spans="1:9" x14ac:dyDescent="0.55000000000000004">
      <c r="A6" s="12"/>
      <c r="B6" s="11"/>
      <c r="C6" s="11"/>
      <c r="D6" s="13"/>
      <c r="E6" s="13"/>
      <c r="F6" s="13"/>
      <c r="G6" s="8" t="str">
        <f t="shared" si="0"/>
        <v/>
      </c>
      <c r="H6" s="8" t="str">
        <f t="shared" si="1"/>
        <v/>
      </c>
      <c r="I6" s="9" t="str">
        <f>IF(E6&gt;deta!$D$2,E6-deta!$D$2,"")</f>
        <v/>
      </c>
    </row>
    <row r="7" spans="1:9" x14ac:dyDescent="0.55000000000000004">
      <c r="A7" s="12"/>
      <c r="B7" s="11"/>
      <c r="C7" s="11"/>
      <c r="D7" s="13"/>
      <c r="E7" s="13"/>
      <c r="F7" s="13"/>
      <c r="G7" s="8" t="str">
        <f t="shared" si="0"/>
        <v/>
      </c>
      <c r="H7" s="8" t="str">
        <f t="shared" si="1"/>
        <v/>
      </c>
      <c r="I7" s="9" t="str">
        <f>IF(E7&gt;deta!$D$2,E7-deta!$D$2,"")</f>
        <v/>
      </c>
    </row>
    <row r="8" spans="1:9" x14ac:dyDescent="0.55000000000000004">
      <c r="A8" s="12"/>
      <c r="B8" s="11"/>
      <c r="C8" s="11"/>
      <c r="D8" s="13"/>
      <c r="E8" s="13"/>
      <c r="F8" s="13"/>
      <c r="G8" s="8" t="str">
        <f t="shared" si="0"/>
        <v/>
      </c>
      <c r="H8" s="8" t="str">
        <f t="shared" si="1"/>
        <v/>
      </c>
      <c r="I8" s="9" t="str">
        <f>IF(E8&gt;deta!$D$2,E8-deta!$D$2,"")</f>
        <v/>
      </c>
    </row>
    <row r="9" spans="1:9" x14ac:dyDescent="0.55000000000000004">
      <c r="A9" s="12"/>
      <c r="B9" s="11"/>
      <c r="C9" s="11"/>
      <c r="D9" s="13"/>
      <c r="E9" s="13"/>
      <c r="F9" s="13"/>
      <c r="G9" s="8" t="str">
        <f t="shared" si="0"/>
        <v/>
      </c>
      <c r="H9" s="8" t="str">
        <f t="shared" si="1"/>
        <v/>
      </c>
      <c r="I9" s="9" t="str">
        <f>IF(E9&gt;deta!$D$2,E9-deta!$D$2,"")</f>
        <v/>
      </c>
    </row>
    <row r="10" spans="1:9" x14ac:dyDescent="0.55000000000000004">
      <c r="A10" s="12"/>
      <c r="B10" s="11"/>
      <c r="C10" s="11"/>
      <c r="D10" s="13"/>
      <c r="E10" s="13"/>
      <c r="F10" s="13"/>
      <c r="G10" s="8" t="str">
        <f t="shared" si="0"/>
        <v/>
      </c>
      <c r="H10" s="8" t="str">
        <f t="shared" si="1"/>
        <v/>
      </c>
      <c r="I10" s="9" t="str">
        <f>IF(E10&gt;deta!$D$2,E10-deta!$D$2,"")</f>
        <v/>
      </c>
    </row>
    <row r="11" spans="1:9" x14ac:dyDescent="0.55000000000000004">
      <c r="A11" s="12"/>
      <c r="B11" s="11"/>
      <c r="C11" s="11"/>
      <c r="D11" s="13"/>
      <c r="E11" s="13"/>
      <c r="F11" s="13"/>
      <c r="G11" s="8" t="str">
        <f>IF(D11="","",E11-D11-F11)</f>
        <v/>
      </c>
      <c r="H11" s="8" t="str">
        <f t="shared" si="1"/>
        <v/>
      </c>
      <c r="I11" s="9" t="str">
        <f>IF(E11&gt;deta!$D$2,E11-deta!$D$2,"")</f>
        <v/>
      </c>
    </row>
    <row r="12" spans="1:9" x14ac:dyDescent="0.55000000000000004">
      <c r="A12" s="12"/>
      <c r="B12" s="11"/>
      <c r="C12" s="11"/>
      <c r="D12" s="13"/>
      <c r="E12" s="13"/>
      <c r="F12" s="13"/>
      <c r="G12" s="8" t="str">
        <f t="shared" ref="G12:G44" si="2">IF(D12="","",E12-D12-F12)</f>
        <v/>
      </c>
      <c r="H12" s="8" t="str">
        <f t="shared" si="1"/>
        <v/>
      </c>
      <c r="I12" s="9" t="str">
        <f>IF(E12&gt;deta!$D$2,E12-deta!$D$2,"")</f>
        <v/>
      </c>
    </row>
    <row r="13" spans="1:9" x14ac:dyDescent="0.55000000000000004">
      <c r="A13" s="12"/>
      <c r="B13" s="11"/>
      <c r="C13" s="11"/>
      <c r="D13" s="13"/>
      <c r="E13" s="13"/>
      <c r="F13" s="13"/>
      <c r="G13" s="8" t="str">
        <f t="shared" si="2"/>
        <v/>
      </c>
      <c r="H13" s="8" t="str">
        <f t="shared" si="1"/>
        <v/>
      </c>
      <c r="I13" s="9" t="str">
        <f>IF(E13&gt;deta!$D$2,E13-deta!$D$2,"")</f>
        <v/>
      </c>
    </row>
    <row r="14" spans="1:9" x14ac:dyDescent="0.55000000000000004">
      <c r="A14" s="12"/>
      <c r="B14" s="11"/>
      <c r="C14" s="11"/>
      <c r="D14" s="13"/>
      <c r="E14" s="13"/>
      <c r="F14" s="13"/>
      <c r="G14" s="8" t="str">
        <f t="shared" si="2"/>
        <v/>
      </c>
      <c r="H14" s="8" t="str">
        <f t="shared" si="1"/>
        <v/>
      </c>
      <c r="I14" s="9" t="str">
        <f>IF(E14&gt;deta!$D$2,E14-deta!$D$2,"")</f>
        <v/>
      </c>
    </row>
    <row r="15" spans="1:9" x14ac:dyDescent="0.55000000000000004">
      <c r="A15" s="12"/>
      <c r="B15" s="11"/>
      <c r="C15" s="11"/>
      <c r="D15" s="13"/>
      <c r="E15" s="13"/>
      <c r="F15" s="13"/>
      <c r="G15" s="8" t="str">
        <f t="shared" si="2"/>
        <v/>
      </c>
      <c r="H15" s="8" t="str">
        <f t="shared" si="1"/>
        <v/>
      </c>
      <c r="I15" s="9" t="str">
        <f>IF(E15&gt;deta!$D$2,E15-deta!$D$2,"")</f>
        <v/>
      </c>
    </row>
    <row r="16" spans="1:9" x14ac:dyDescent="0.55000000000000004">
      <c r="A16" s="12"/>
      <c r="B16" s="11"/>
      <c r="C16" s="11"/>
      <c r="D16" s="13"/>
      <c r="E16" s="13"/>
      <c r="F16" s="13"/>
      <c r="G16" s="8" t="str">
        <f t="shared" si="2"/>
        <v/>
      </c>
      <c r="H16" s="8" t="str">
        <f t="shared" si="1"/>
        <v/>
      </c>
      <c r="I16" s="9" t="str">
        <f>IF(E16&gt;deta!$D$2,E16-deta!$D$2,"")</f>
        <v/>
      </c>
    </row>
    <row r="17" spans="1:9" x14ac:dyDescent="0.55000000000000004">
      <c r="A17" s="12"/>
      <c r="B17" s="11"/>
      <c r="C17" s="11"/>
      <c r="D17" s="13"/>
      <c r="E17" s="13"/>
      <c r="F17" s="13"/>
      <c r="G17" s="8" t="str">
        <f t="shared" si="2"/>
        <v/>
      </c>
      <c r="H17" s="8" t="str">
        <f t="shared" si="1"/>
        <v/>
      </c>
      <c r="I17" s="9" t="str">
        <f>IF(E17&gt;deta!$D$2,E17-deta!$D$2,"")</f>
        <v/>
      </c>
    </row>
    <row r="18" spans="1:9" x14ac:dyDescent="0.55000000000000004">
      <c r="A18" s="12"/>
      <c r="B18" s="11"/>
      <c r="C18" s="11"/>
      <c r="D18" s="13"/>
      <c r="E18" s="13"/>
      <c r="F18" s="13"/>
      <c r="G18" s="8" t="str">
        <f t="shared" si="2"/>
        <v/>
      </c>
      <c r="H18" s="8" t="str">
        <f t="shared" si="1"/>
        <v/>
      </c>
      <c r="I18" s="9" t="str">
        <f>IF(E18&gt;deta!$D$2,E18-deta!$D$2,"")</f>
        <v/>
      </c>
    </row>
    <row r="19" spans="1:9" x14ac:dyDescent="0.55000000000000004">
      <c r="A19" s="12"/>
      <c r="B19" s="11"/>
      <c r="C19" s="11"/>
      <c r="D19" s="13"/>
      <c r="E19" s="13"/>
      <c r="F19" s="13"/>
      <c r="G19" s="8" t="str">
        <f t="shared" si="2"/>
        <v/>
      </c>
      <c r="H19" s="8" t="str">
        <f t="shared" si="1"/>
        <v/>
      </c>
      <c r="I19" s="9" t="str">
        <f>IF(E19&gt;deta!$D$2,E19-deta!$D$2,"")</f>
        <v/>
      </c>
    </row>
    <row r="20" spans="1:9" x14ac:dyDescent="0.55000000000000004">
      <c r="A20" s="12"/>
      <c r="B20" s="11"/>
      <c r="C20" s="11"/>
      <c r="D20" s="14"/>
      <c r="E20" s="14"/>
      <c r="F20" s="13"/>
      <c r="G20" s="8" t="str">
        <f t="shared" si="2"/>
        <v/>
      </c>
      <c r="H20" s="8" t="str">
        <f t="shared" si="1"/>
        <v/>
      </c>
      <c r="I20" s="9" t="str">
        <f>IF(E20&gt;deta!$D$2,E20-deta!$D$2,"")</f>
        <v/>
      </c>
    </row>
    <row r="21" spans="1:9" x14ac:dyDescent="0.55000000000000004">
      <c r="A21" s="12"/>
      <c r="B21" s="11"/>
      <c r="C21" s="11"/>
      <c r="D21" s="14"/>
      <c r="E21" s="14"/>
      <c r="F21" s="13"/>
      <c r="G21" s="8" t="str">
        <f t="shared" si="2"/>
        <v/>
      </c>
      <c r="H21" s="8" t="str">
        <f t="shared" si="1"/>
        <v/>
      </c>
      <c r="I21" s="9" t="str">
        <f>IF(E21&gt;deta!$D$2,E21-deta!$D$2,"")</f>
        <v/>
      </c>
    </row>
    <row r="22" spans="1:9" x14ac:dyDescent="0.55000000000000004">
      <c r="A22" s="12"/>
      <c r="B22" s="11"/>
      <c r="C22" s="11"/>
      <c r="D22" s="14"/>
      <c r="E22" s="14"/>
      <c r="F22" s="13"/>
      <c r="G22" s="8" t="str">
        <f t="shared" si="2"/>
        <v/>
      </c>
      <c r="H22" s="8" t="str">
        <f t="shared" si="1"/>
        <v/>
      </c>
      <c r="I22" s="9" t="str">
        <f>IF(E22&gt;deta!$D$2,E22-deta!$D$2,"")</f>
        <v/>
      </c>
    </row>
    <row r="23" spans="1:9" x14ac:dyDescent="0.55000000000000004">
      <c r="A23" s="12"/>
      <c r="B23" s="11"/>
      <c r="C23" s="11"/>
      <c r="D23" s="14"/>
      <c r="E23" s="14"/>
      <c r="F23" s="13"/>
      <c r="G23" s="8" t="str">
        <f t="shared" si="2"/>
        <v/>
      </c>
      <c r="H23" s="8" t="str">
        <f t="shared" si="1"/>
        <v/>
      </c>
      <c r="I23" s="9" t="str">
        <f>IF(E23&gt;deta!$D$2,E23-deta!$D$2,"")</f>
        <v/>
      </c>
    </row>
    <row r="24" spans="1:9" x14ac:dyDescent="0.55000000000000004">
      <c r="A24" s="12"/>
      <c r="B24" s="11"/>
      <c r="C24" s="11"/>
      <c r="D24" s="14"/>
      <c r="E24" s="14"/>
      <c r="F24" s="13"/>
      <c r="G24" s="8" t="str">
        <f t="shared" si="2"/>
        <v/>
      </c>
      <c r="H24" s="8" t="str">
        <f t="shared" si="1"/>
        <v/>
      </c>
      <c r="I24" s="9" t="str">
        <f>IF(E24&gt;deta!$D$2,E24-deta!$D$2,"")</f>
        <v/>
      </c>
    </row>
    <row r="25" spans="1:9" x14ac:dyDescent="0.55000000000000004">
      <c r="A25" s="12"/>
      <c r="B25" s="11"/>
      <c r="C25" s="11"/>
      <c r="D25" s="14"/>
      <c r="E25" s="14"/>
      <c r="F25" s="13"/>
      <c r="G25" s="8" t="str">
        <f t="shared" si="2"/>
        <v/>
      </c>
      <c r="H25" s="8" t="str">
        <f t="shared" si="1"/>
        <v/>
      </c>
      <c r="I25" s="9" t="str">
        <f>IF(E25&gt;deta!$D$2,E25-deta!$D$2,"")</f>
        <v/>
      </c>
    </row>
    <row r="26" spans="1:9" x14ac:dyDescent="0.55000000000000004">
      <c r="A26" s="12"/>
      <c r="B26" s="11"/>
      <c r="C26" s="11"/>
      <c r="D26" s="14"/>
      <c r="E26" s="14"/>
      <c r="F26" s="13"/>
      <c r="G26" s="8" t="str">
        <f t="shared" si="2"/>
        <v/>
      </c>
      <c r="H26" s="8" t="str">
        <f t="shared" si="1"/>
        <v/>
      </c>
      <c r="I26" s="9" t="str">
        <f>IF(E26&gt;deta!$D$2,E26-deta!$D$2,"")</f>
        <v/>
      </c>
    </row>
    <row r="27" spans="1:9" x14ac:dyDescent="0.55000000000000004">
      <c r="A27" s="12"/>
      <c r="B27" s="11"/>
      <c r="C27" s="11"/>
      <c r="D27" s="14"/>
      <c r="E27" s="14"/>
      <c r="F27" s="13"/>
      <c r="G27" s="8" t="str">
        <f t="shared" si="2"/>
        <v/>
      </c>
      <c r="H27" s="8" t="str">
        <f t="shared" si="1"/>
        <v/>
      </c>
      <c r="I27" s="9" t="str">
        <f>IF(E27&gt;deta!$D$2,E27-deta!$D$2,"")</f>
        <v/>
      </c>
    </row>
    <row r="28" spans="1:9" x14ac:dyDescent="0.55000000000000004">
      <c r="A28" s="12"/>
      <c r="B28" s="11"/>
      <c r="C28" s="11"/>
      <c r="D28" s="14"/>
      <c r="E28" s="14"/>
      <c r="F28" s="13"/>
      <c r="G28" s="8" t="str">
        <f t="shared" si="2"/>
        <v/>
      </c>
      <c r="H28" s="8" t="str">
        <f t="shared" si="1"/>
        <v/>
      </c>
      <c r="I28" s="9" t="str">
        <f>IF(E28&gt;deta!$D$2,E28-deta!$D$2,"")</f>
        <v/>
      </c>
    </row>
    <row r="29" spans="1:9" x14ac:dyDescent="0.55000000000000004">
      <c r="A29" s="12"/>
      <c r="B29" s="11"/>
      <c r="C29" s="11"/>
      <c r="D29" s="14"/>
      <c r="E29" s="14"/>
      <c r="F29" s="13"/>
      <c r="G29" s="8" t="str">
        <f t="shared" si="2"/>
        <v/>
      </c>
      <c r="H29" s="8" t="str">
        <f t="shared" si="1"/>
        <v/>
      </c>
      <c r="I29" s="9" t="str">
        <f>IF(E29&gt;deta!$D$2,E29-deta!$D$2,"")</f>
        <v/>
      </c>
    </row>
    <row r="30" spans="1:9" x14ac:dyDescent="0.55000000000000004">
      <c r="A30" s="12"/>
      <c r="B30" s="11"/>
      <c r="C30" s="11"/>
      <c r="D30" s="14"/>
      <c r="E30" s="14"/>
      <c r="F30" s="13"/>
      <c r="G30" s="8" t="str">
        <f t="shared" si="2"/>
        <v/>
      </c>
      <c r="H30" s="8" t="str">
        <f t="shared" si="1"/>
        <v/>
      </c>
      <c r="I30" s="9" t="str">
        <f>IF(E30&gt;deta!$D$2,E30-deta!$D$2,"")</f>
        <v/>
      </c>
    </row>
    <row r="31" spans="1:9" x14ac:dyDescent="0.55000000000000004">
      <c r="A31" s="12"/>
      <c r="B31" s="11"/>
      <c r="C31" s="11"/>
      <c r="D31" s="14"/>
      <c r="E31" s="14"/>
      <c r="F31" s="13"/>
      <c r="G31" s="8" t="str">
        <f t="shared" si="2"/>
        <v/>
      </c>
      <c r="H31" s="8" t="str">
        <f t="shared" si="1"/>
        <v/>
      </c>
      <c r="I31" s="9" t="str">
        <f>IF(E31&gt;deta!$D$2,E31-deta!$D$2,"")</f>
        <v/>
      </c>
    </row>
    <row r="32" spans="1:9" x14ac:dyDescent="0.55000000000000004">
      <c r="A32" s="12"/>
      <c r="B32" s="11"/>
      <c r="C32" s="11"/>
      <c r="D32" s="14"/>
      <c r="E32" s="14"/>
      <c r="F32" s="13"/>
      <c r="G32" s="8" t="str">
        <f t="shared" si="2"/>
        <v/>
      </c>
      <c r="H32" s="8" t="str">
        <f t="shared" si="1"/>
        <v/>
      </c>
      <c r="I32" s="9" t="str">
        <f>IF(E32&gt;deta!$D$2,E32-deta!$D$2,"")</f>
        <v/>
      </c>
    </row>
    <row r="33" spans="1:9" x14ac:dyDescent="0.55000000000000004">
      <c r="A33" s="12"/>
      <c r="B33" s="11"/>
      <c r="C33" s="11"/>
      <c r="D33" s="14"/>
      <c r="E33" s="14"/>
      <c r="F33" s="13"/>
      <c r="G33" s="8" t="str">
        <f t="shared" si="2"/>
        <v/>
      </c>
      <c r="H33" s="8" t="str">
        <f t="shared" si="1"/>
        <v/>
      </c>
      <c r="I33" s="9" t="str">
        <f>IF(E33&gt;deta!$D$2,E33-deta!$D$2,"")</f>
        <v/>
      </c>
    </row>
    <row r="34" spans="1:9" x14ac:dyDescent="0.55000000000000004">
      <c r="A34" s="12"/>
      <c r="B34" s="11"/>
      <c r="C34" s="11"/>
      <c r="D34" s="14"/>
      <c r="E34" s="14"/>
      <c r="F34" s="13"/>
      <c r="G34" s="8" t="str">
        <f t="shared" si="2"/>
        <v/>
      </c>
      <c r="H34" s="8" t="str">
        <f t="shared" si="1"/>
        <v/>
      </c>
      <c r="I34" s="9" t="str">
        <f>IF(E34&gt;deta!$D$2,E34-deta!$D$2,"")</f>
        <v/>
      </c>
    </row>
    <row r="35" spans="1:9" x14ac:dyDescent="0.55000000000000004">
      <c r="A35" s="12"/>
      <c r="B35" s="11"/>
      <c r="C35" s="11"/>
      <c r="D35" s="14"/>
      <c r="E35" s="14"/>
      <c r="F35" s="13"/>
      <c r="G35" s="8" t="str">
        <f t="shared" si="2"/>
        <v/>
      </c>
      <c r="H35" s="8" t="str">
        <f t="shared" si="1"/>
        <v/>
      </c>
      <c r="I35" s="9" t="str">
        <f>IF(E35&gt;deta!$D$2,E35-deta!$D$2,"")</f>
        <v/>
      </c>
    </row>
    <row r="36" spans="1:9" x14ac:dyDescent="0.55000000000000004">
      <c r="A36" s="12"/>
      <c r="B36" s="11"/>
      <c r="C36" s="11"/>
      <c r="D36" s="14"/>
      <c r="E36" s="14"/>
      <c r="F36" s="13"/>
      <c r="G36" s="8" t="str">
        <f t="shared" si="2"/>
        <v/>
      </c>
      <c r="H36" s="8" t="str">
        <f t="shared" si="1"/>
        <v/>
      </c>
      <c r="I36" s="9" t="str">
        <f>IF(E36&gt;deta!$D$2,E36-deta!$D$2,"")</f>
        <v/>
      </c>
    </row>
    <row r="37" spans="1:9" x14ac:dyDescent="0.55000000000000004">
      <c r="A37" s="12"/>
      <c r="B37" s="11"/>
      <c r="C37" s="11"/>
      <c r="D37" s="14"/>
      <c r="E37" s="14"/>
      <c r="F37" s="13"/>
      <c r="G37" s="8" t="str">
        <f t="shared" si="2"/>
        <v/>
      </c>
      <c r="H37" s="8" t="str">
        <f t="shared" si="1"/>
        <v/>
      </c>
      <c r="I37" s="9" t="str">
        <f>IF(E37&gt;deta!$D$2,E37-deta!$D$2,"")</f>
        <v/>
      </c>
    </row>
    <row r="38" spans="1:9" x14ac:dyDescent="0.55000000000000004">
      <c r="A38" s="12"/>
      <c r="B38" s="11"/>
      <c r="C38" s="11"/>
      <c r="D38" s="14"/>
      <c r="E38" s="14"/>
      <c r="F38" s="13"/>
      <c r="G38" s="8" t="str">
        <f t="shared" si="2"/>
        <v/>
      </c>
      <c r="H38" s="8" t="str">
        <f t="shared" si="1"/>
        <v/>
      </c>
      <c r="I38" s="9" t="str">
        <f>IF(E38&gt;deta!$D$2,E38-deta!$D$2,"")</f>
        <v/>
      </c>
    </row>
    <row r="39" spans="1:9" x14ac:dyDescent="0.55000000000000004">
      <c r="A39" s="12"/>
      <c r="B39" s="11"/>
      <c r="C39" s="11"/>
      <c r="D39" s="14"/>
      <c r="E39" s="14"/>
      <c r="F39" s="13"/>
      <c r="G39" s="8" t="str">
        <f t="shared" si="2"/>
        <v/>
      </c>
      <c r="H39" s="8" t="str">
        <f t="shared" si="1"/>
        <v/>
      </c>
      <c r="I39" s="9" t="str">
        <f>IF(E39&gt;deta!$D$2,E39-deta!$D$2,"")</f>
        <v/>
      </c>
    </row>
    <row r="40" spans="1:9" x14ac:dyDescent="0.55000000000000004">
      <c r="A40" s="12"/>
      <c r="B40" s="11"/>
      <c r="C40" s="11"/>
      <c r="D40" s="14"/>
      <c r="E40" s="14"/>
      <c r="F40" s="13"/>
      <c r="G40" s="8" t="str">
        <f t="shared" si="2"/>
        <v/>
      </c>
      <c r="H40" s="8" t="str">
        <f t="shared" si="1"/>
        <v/>
      </c>
      <c r="I40" s="9" t="str">
        <f>IF(E40&gt;deta!$D$2,E40-deta!$D$2,"")</f>
        <v/>
      </c>
    </row>
    <row r="41" spans="1:9" x14ac:dyDescent="0.55000000000000004">
      <c r="A41" s="12"/>
      <c r="B41" s="11"/>
      <c r="C41" s="11"/>
      <c r="D41" s="14"/>
      <c r="E41" s="14"/>
      <c r="F41" s="13"/>
      <c r="G41" s="8" t="str">
        <f t="shared" si="2"/>
        <v/>
      </c>
      <c r="H41" s="8" t="str">
        <f t="shared" si="1"/>
        <v/>
      </c>
      <c r="I41" s="9" t="str">
        <f>IF(E41&gt;deta!$D$2,E41-deta!$D$2,"")</f>
        <v/>
      </c>
    </row>
    <row r="42" spans="1:9" x14ac:dyDescent="0.55000000000000004">
      <c r="A42" s="12"/>
      <c r="B42" s="11"/>
      <c r="C42" s="11"/>
      <c r="D42" s="14"/>
      <c r="E42" s="14"/>
      <c r="F42" s="13"/>
      <c r="G42" s="8" t="str">
        <f t="shared" si="2"/>
        <v/>
      </c>
      <c r="H42" s="8" t="str">
        <f t="shared" si="1"/>
        <v/>
      </c>
      <c r="I42" s="9" t="str">
        <f>IF(E42&gt;deta!$D$2,E42-deta!$D$2,"")</f>
        <v/>
      </c>
    </row>
    <row r="43" spans="1:9" x14ac:dyDescent="0.55000000000000004">
      <c r="A43" s="12"/>
      <c r="B43" s="11"/>
      <c r="C43" s="11"/>
      <c r="D43" s="14"/>
      <c r="E43" s="14"/>
      <c r="F43" s="13"/>
      <c r="G43" s="8" t="str">
        <f t="shared" si="2"/>
        <v/>
      </c>
      <c r="H43" s="8" t="str">
        <f t="shared" si="1"/>
        <v/>
      </c>
      <c r="I43" s="9" t="str">
        <f>IF(E43&gt;deta!$D$2,E43-deta!$D$2,"")</f>
        <v/>
      </c>
    </row>
    <row r="44" spans="1:9" x14ac:dyDescent="0.55000000000000004">
      <c r="A44" s="12"/>
      <c r="B44" s="11"/>
      <c r="C44" s="11"/>
      <c r="D44" s="14"/>
      <c r="E44" s="14"/>
      <c r="F44" s="13"/>
      <c r="G44" s="8" t="str">
        <f t="shared" si="2"/>
        <v/>
      </c>
      <c r="H44" s="8" t="str">
        <f t="shared" si="1"/>
        <v/>
      </c>
      <c r="I44" s="9" t="str">
        <f>IF(E44&gt;deta!$D$2,E44-deta!$D$2,"")</f>
        <v/>
      </c>
    </row>
    <row r="46" spans="1:9" x14ac:dyDescent="0.55000000000000004">
      <c r="A46" s="21" t="s">
        <v>58</v>
      </c>
      <c r="B46" s="21"/>
      <c r="C46" s="21"/>
      <c r="D46" s="21"/>
      <c r="E46" s="21"/>
      <c r="F46" s="21"/>
      <c r="H46" s="15" t="s">
        <v>54</v>
      </c>
      <c r="I46" s="16">
        <f>SUM(G3:G44)-SUM(H3:H44)</f>
        <v>0</v>
      </c>
    </row>
    <row r="47" spans="1:9" x14ac:dyDescent="0.55000000000000004">
      <c r="H47" s="15" t="s">
        <v>52</v>
      </c>
      <c r="I47" s="16">
        <f>SUM(H3:H44)</f>
        <v>0</v>
      </c>
    </row>
    <row r="48" spans="1:9" x14ac:dyDescent="0.55000000000000004">
      <c r="H48" s="15" t="s">
        <v>55</v>
      </c>
      <c r="I48" s="16">
        <f>SUM(I3:I44)</f>
        <v>0</v>
      </c>
    </row>
    <row r="49" spans="8:9" x14ac:dyDescent="0.55000000000000004">
      <c r="H49" s="15" t="s">
        <v>56</v>
      </c>
      <c r="I49" s="17">
        <f>COUNTIF(B3:B44,"休み")</f>
        <v>0</v>
      </c>
    </row>
  </sheetData>
  <sheetProtection algorithmName="SHA-512" hashValue="SHmOE0THkCqtps+EKl9IBrzhQHnkP6vsl/9IYzFztHEkEGi2T3V/lRfwOy5+EGEeB4jM1l4+/9bJ85ws11Ljiw==" saltValue="eyYsOCywmmsh4C9SwEO7Cg==" spinCount="100000" sheet="1" objects="1" scenarios="1"/>
  <mergeCells count="2">
    <mergeCell ref="H1:I1"/>
    <mergeCell ref="A46:F46"/>
  </mergeCells>
  <phoneticPr fontI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  <headerFooter>
    <oddFooter>&amp;R&amp;D　　&amp;T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545CBFD-6627-483A-AEC6-611F709F195F}">
          <x14:formula1>
            <xm:f>deta!$E$2:$E$36</xm:f>
          </x14:formula1>
          <xm:sqref>C3:C44</xm:sqref>
        </x14:dataValidation>
        <x14:dataValidation type="list" allowBlank="1" showInputMessage="1" showErrorMessage="1" xr:uid="{EFB35749-A1F7-4A4E-8E5C-523B86D44477}">
          <x14:formula1>
            <xm:f>deta!$C$4:$C$5</xm:f>
          </x14:formula1>
          <xm:sqref>F3:F44</xm:sqref>
        </x14:dataValidation>
        <x14:dataValidation type="list" allowBlank="1" showInputMessage="1" showErrorMessage="1" xr:uid="{7153D636-13A3-475F-B646-DE082659BF82}">
          <x14:formula1>
            <xm:f>deta!$F$1:$F$13</xm:f>
          </x14:formula1>
          <xm:sqref>A1</xm:sqref>
        </x14:dataValidation>
        <x14:dataValidation type="list" allowBlank="1" showInputMessage="1" showErrorMessage="1" xr:uid="{0E6BCF65-37C4-495C-A923-5E264D1A660F}">
          <x14:formula1>
            <xm:f>deta!$H$1:$H$3</xm:f>
          </x14:formula1>
          <xm:sqref>G1</xm:sqref>
        </x14:dataValidation>
        <x14:dataValidation type="list" allowBlank="1" showInputMessage="1" showErrorMessage="1" xr:uid="{523B8A57-6DC3-4476-AF2B-DBF2EC0676DC}">
          <x14:formula1>
            <xm:f>deta!$G$1:$G$7</xm:f>
          </x14:formula1>
          <xm:sqref>H1:I1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60BF-F605-4C6C-B085-AA89FB648D3E}">
  <sheetPr>
    <tabColor theme="1"/>
  </sheetPr>
  <dimension ref="C1:H36"/>
  <sheetViews>
    <sheetView tabSelected="1" workbookViewId="0">
      <selection activeCell="D2" sqref="D2"/>
    </sheetView>
  </sheetViews>
  <sheetFormatPr defaultRowHeight="18" x14ac:dyDescent="0.55000000000000004"/>
  <sheetData>
    <row r="1" spans="3:8" x14ac:dyDescent="0.55000000000000004">
      <c r="F1" s="3" t="s">
        <v>57</v>
      </c>
      <c r="G1" s="3" t="s">
        <v>57</v>
      </c>
      <c r="H1" s="3" t="s">
        <v>57</v>
      </c>
    </row>
    <row r="2" spans="3:8" x14ac:dyDescent="0.55000000000000004">
      <c r="C2" s="1"/>
      <c r="D2" s="2">
        <v>0.91666666666666663</v>
      </c>
      <c r="E2" s="3" t="s">
        <v>0</v>
      </c>
      <c r="F2" s="3" t="s">
        <v>1</v>
      </c>
      <c r="G2" s="3" t="s">
        <v>2</v>
      </c>
      <c r="H2" s="3" t="s">
        <v>3</v>
      </c>
    </row>
    <row r="3" spans="3:8" x14ac:dyDescent="0.55000000000000004">
      <c r="E3" s="3" t="s">
        <v>4</v>
      </c>
      <c r="F3" s="3" t="s">
        <v>5</v>
      </c>
      <c r="G3" s="3" t="s">
        <v>6</v>
      </c>
      <c r="H3" s="3" t="s">
        <v>7</v>
      </c>
    </row>
    <row r="4" spans="3:8" x14ac:dyDescent="0.55000000000000004">
      <c r="C4" s="3"/>
      <c r="E4" s="3" t="s">
        <v>8</v>
      </c>
      <c r="F4" s="3" t="s">
        <v>9</v>
      </c>
      <c r="G4" s="3" t="s">
        <v>10</v>
      </c>
    </row>
    <row r="5" spans="3:8" x14ac:dyDescent="0.55000000000000004">
      <c r="C5" s="2">
        <v>4.1666666666666664E-2</v>
      </c>
      <c r="D5" s="1"/>
      <c r="E5" s="2" t="s">
        <v>11</v>
      </c>
      <c r="F5" s="3" t="s">
        <v>12</v>
      </c>
      <c r="G5" s="3" t="s">
        <v>13</v>
      </c>
    </row>
    <row r="6" spans="3:8" x14ac:dyDescent="0.55000000000000004">
      <c r="C6" s="1"/>
      <c r="D6" s="1"/>
      <c r="E6" s="2" t="s">
        <v>14</v>
      </c>
      <c r="F6" s="3" t="s">
        <v>15</v>
      </c>
      <c r="G6" s="3" t="s">
        <v>16</v>
      </c>
    </row>
    <row r="7" spans="3:8" x14ac:dyDescent="0.55000000000000004">
      <c r="C7" s="1"/>
      <c r="D7" s="1"/>
      <c r="E7" s="2" t="s">
        <v>17</v>
      </c>
      <c r="F7" s="3" t="s">
        <v>18</v>
      </c>
      <c r="G7" s="3" t="s">
        <v>19</v>
      </c>
    </row>
    <row r="8" spans="3:8" x14ac:dyDescent="0.55000000000000004">
      <c r="C8" s="1"/>
      <c r="D8" s="1"/>
      <c r="E8" s="2" t="s">
        <v>20</v>
      </c>
      <c r="F8" s="3" t="s">
        <v>21</v>
      </c>
    </row>
    <row r="9" spans="3:8" x14ac:dyDescent="0.55000000000000004">
      <c r="C9" s="1"/>
      <c r="D9" s="1"/>
      <c r="E9" s="2" t="s">
        <v>22</v>
      </c>
      <c r="F9" s="3" t="s">
        <v>23</v>
      </c>
    </row>
    <row r="10" spans="3:8" x14ac:dyDescent="0.55000000000000004">
      <c r="C10" s="1"/>
      <c r="D10" s="1"/>
      <c r="E10" s="2" t="s">
        <v>24</v>
      </c>
      <c r="F10" s="3" t="s">
        <v>25</v>
      </c>
    </row>
    <row r="11" spans="3:8" x14ac:dyDescent="0.55000000000000004">
      <c r="C11" s="1"/>
      <c r="D11" s="1"/>
      <c r="E11" s="2" t="s">
        <v>26</v>
      </c>
      <c r="F11" s="3" t="s">
        <v>27</v>
      </c>
    </row>
    <row r="12" spans="3:8" x14ac:dyDescent="0.55000000000000004">
      <c r="C12" s="1"/>
      <c r="D12" s="1"/>
      <c r="E12" s="2" t="s">
        <v>28</v>
      </c>
      <c r="F12" s="3" t="s">
        <v>29</v>
      </c>
    </row>
    <row r="13" spans="3:8" x14ac:dyDescent="0.55000000000000004">
      <c r="C13" s="1"/>
      <c r="D13" s="1"/>
      <c r="E13" s="2" t="s">
        <v>30</v>
      </c>
      <c r="F13" s="3" t="s">
        <v>31</v>
      </c>
    </row>
    <row r="14" spans="3:8" x14ac:dyDescent="0.55000000000000004">
      <c r="C14" s="1"/>
      <c r="D14" s="1"/>
      <c r="E14" s="2" t="s">
        <v>32</v>
      </c>
    </row>
    <row r="15" spans="3:8" x14ac:dyDescent="0.55000000000000004">
      <c r="C15" s="1"/>
      <c r="D15" s="1"/>
      <c r="E15" s="2" t="s">
        <v>33</v>
      </c>
    </row>
    <row r="16" spans="3:8" x14ac:dyDescent="0.55000000000000004">
      <c r="C16" s="1"/>
      <c r="D16" s="1"/>
      <c r="E16" s="2" t="s">
        <v>34</v>
      </c>
    </row>
    <row r="17" spans="3:5" x14ac:dyDescent="0.55000000000000004">
      <c r="C17" s="1"/>
      <c r="D17" s="1"/>
      <c r="E17" s="2" t="s">
        <v>35</v>
      </c>
    </row>
    <row r="18" spans="3:5" x14ac:dyDescent="0.55000000000000004">
      <c r="C18" s="1"/>
      <c r="D18" s="1"/>
      <c r="E18" s="2" t="s">
        <v>36</v>
      </c>
    </row>
    <row r="19" spans="3:5" x14ac:dyDescent="0.55000000000000004">
      <c r="C19" s="1"/>
      <c r="D19" s="1"/>
      <c r="E19" s="2" t="s">
        <v>37</v>
      </c>
    </row>
    <row r="20" spans="3:5" x14ac:dyDescent="0.55000000000000004">
      <c r="C20" s="1"/>
      <c r="D20" s="1"/>
      <c r="E20" s="2" t="s">
        <v>38</v>
      </c>
    </row>
    <row r="21" spans="3:5" x14ac:dyDescent="0.55000000000000004">
      <c r="C21" s="1"/>
      <c r="D21" s="1"/>
      <c r="E21" s="2" t="s">
        <v>39</v>
      </c>
    </row>
    <row r="22" spans="3:5" x14ac:dyDescent="0.55000000000000004">
      <c r="E22" s="2" t="s">
        <v>40</v>
      </c>
    </row>
    <row r="23" spans="3:5" x14ac:dyDescent="0.55000000000000004">
      <c r="E23" s="2" t="s">
        <v>41</v>
      </c>
    </row>
    <row r="24" spans="3:5" x14ac:dyDescent="0.55000000000000004">
      <c r="E24" s="2" t="s">
        <v>42</v>
      </c>
    </row>
    <row r="25" spans="3:5" x14ac:dyDescent="0.55000000000000004">
      <c r="E25" s="2" t="s">
        <v>43</v>
      </c>
    </row>
    <row r="26" spans="3:5" x14ac:dyDescent="0.55000000000000004">
      <c r="E26" s="3"/>
    </row>
    <row r="27" spans="3:5" x14ac:dyDescent="0.55000000000000004">
      <c r="E27" s="3"/>
    </row>
    <row r="28" spans="3:5" x14ac:dyDescent="0.55000000000000004">
      <c r="E28" s="3"/>
    </row>
    <row r="29" spans="3:5" x14ac:dyDescent="0.55000000000000004">
      <c r="E29" s="3"/>
    </row>
    <row r="30" spans="3:5" x14ac:dyDescent="0.55000000000000004">
      <c r="E30" s="3"/>
    </row>
    <row r="31" spans="3:5" x14ac:dyDescent="0.55000000000000004">
      <c r="E31" s="3"/>
    </row>
    <row r="32" spans="3:5" x14ac:dyDescent="0.55000000000000004">
      <c r="E32" s="3"/>
    </row>
    <row r="33" spans="5:5" x14ac:dyDescent="0.55000000000000004">
      <c r="E33" s="3"/>
    </row>
    <row r="34" spans="5:5" x14ac:dyDescent="0.55000000000000004">
      <c r="E34" s="3"/>
    </row>
    <row r="35" spans="5:5" x14ac:dyDescent="0.55000000000000004">
      <c r="E35" s="3"/>
    </row>
    <row r="36" spans="5:5" x14ac:dyDescent="0.55000000000000004">
      <c r="E36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 報</vt:lpstr>
      <vt:lpstr>deta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康均 岡田</dc:creator>
  <cp:lastModifiedBy>康均 岡田</cp:lastModifiedBy>
  <cp:lastPrinted>2024-08-24T07:28:31Z</cp:lastPrinted>
  <dcterms:created xsi:type="dcterms:W3CDTF">2024-08-24T06:16:01Z</dcterms:created>
  <dcterms:modified xsi:type="dcterms:W3CDTF">2024-08-27T23:29:50Z</dcterms:modified>
</cp:coreProperties>
</file>